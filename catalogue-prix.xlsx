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x" sheetId="1" state="visible" r:id="rId3"/>
    <sheet name="Mode d'emplo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<sst xmlns="http://schemas.openxmlformats.org/spreadsheetml/2006/main" count="264" uniqueCount="156">
  <si>
    <t xml:space="preserve">id</t>
  </si>
  <si>
    <t xml:space="preserve">famille</t>
  </si>
  <si>
    <t xml:space="preserve">nom</t>
  </si>
  <si>
    <t xml:space="preserve">unite</t>
  </si>
  <si>
    <t xml:space="preserve">categorie</t>
  </si>
  <si>
    <t xml:space="preserve">prix_delhaize</t>
  </si>
  <si>
    <t xml:space="preserve">promo_delhaize</t>
  </si>
  <si>
    <t xml:space="preserve">prix_carrefour</t>
  </si>
  <si>
    <t xml:space="preserve">promo_carrefour</t>
  </si>
  <si>
    <t xml:space="preserve">prix_colruyt</t>
  </si>
  <si>
    <t xml:space="preserve">promo_colruyt</t>
  </si>
  <si>
    <t xml:space="preserve">date_releve</t>
  </si>
  <si>
    <t xml:space="preserve">meilleur_prix</t>
  </si>
  <si>
    <t xml:space="preserve">enseigne_moins_chere</t>
  </si>
  <si>
    <t xml:space="preserve">bananes</t>
  </si>
  <si>
    <t xml:space="preserve">Bananes</t>
  </si>
  <si>
    <t xml:space="preserve">1 kg</t>
  </si>
  <si>
    <t xml:space="preserve">🍎 Fruits &amp; Légumes</t>
  </si>
  <si>
    <t xml:space="preserve">-20%</t>
  </si>
  <si>
    <t xml:space="preserve">pommes</t>
  </si>
  <si>
    <t xml:space="preserve">Pommes Jonagold</t>
  </si>
  <si>
    <t xml:space="preserve">2 kg</t>
  </si>
  <si>
    <t xml:space="preserve">tomates</t>
  </si>
  <si>
    <t xml:space="preserve">Tomates grappe</t>
  </si>
  <si>
    <t xml:space="preserve">carottes</t>
  </si>
  <si>
    <t xml:space="preserve">Carottes</t>
  </si>
  <si>
    <t xml:space="preserve">pdt</t>
  </si>
  <si>
    <t xml:space="preserve">Pommes de terre</t>
  </si>
  <si>
    <t xml:space="preserve">2,5 kg</t>
  </si>
  <si>
    <t xml:space="preserve">oignons</t>
  </si>
  <si>
    <t xml:space="preserve">Oignons</t>
  </si>
  <si>
    <t xml:space="preserve">salade</t>
  </si>
  <si>
    <t xml:space="preserve">Salade iceberg</t>
  </si>
  <si>
    <t xml:space="preserve">pièce</t>
  </si>
  <si>
    <t xml:space="preserve">poivrons</t>
  </si>
  <si>
    <t xml:space="preserve">Poivrons trio</t>
  </si>
  <si>
    <t xml:space="preserve">3 pièces</t>
  </si>
  <si>
    <t xml:space="preserve">-25%</t>
  </si>
  <si>
    <t xml:space="preserve">lait</t>
  </si>
  <si>
    <t xml:space="preserve">Lait demi-écrémé</t>
  </si>
  <si>
    <t xml:space="preserve">1 L</t>
  </si>
  <si>
    <t xml:space="preserve">🥛 Crèmerie</t>
  </si>
  <si>
    <t xml:space="preserve">beurre</t>
  </si>
  <si>
    <t xml:space="preserve">Beurre doux</t>
  </si>
  <si>
    <t xml:space="preserve">250 g</t>
  </si>
  <si>
    <t xml:space="preserve">oeufs</t>
  </si>
  <si>
    <t xml:space="preserve">Œufs M</t>
  </si>
  <si>
    <t xml:space="preserve">12 pièces</t>
  </si>
  <si>
    <t xml:space="preserve">-15%</t>
  </si>
  <si>
    <t xml:space="preserve">yaourt</t>
  </si>
  <si>
    <t xml:space="preserve">Yaourt nature</t>
  </si>
  <si>
    <t xml:space="preserve">4 × 125 g</t>
  </si>
  <si>
    <t xml:space="preserve">1+1</t>
  </si>
  <si>
    <t xml:space="preserve">gouda</t>
  </si>
  <si>
    <t xml:space="preserve">Gouda jeune tranches</t>
  </si>
  <si>
    <t xml:space="preserve">300 g</t>
  </si>
  <si>
    <t xml:space="preserve">rape</t>
  </si>
  <si>
    <t xml:space="preserve">Emmental râpé</t>
  </si>
  <si>
    <t xml:space="preserve">200 g</t>
  </si>
  <si>
    <t xml:space="preserve">poulet</t>
  </si>
  <si>
    <t xml:space="preserve">Blanc de poulet</t>
  </si>
  <si>
    <t xml:space="preserve">500 g</t>
  </si>
  <si>
    <t xml:space="preserve">🥩 Viande &amp; Poisson</t>
  </si>
  <si>
    <t xml:space="preserve">hache</t>
  </si>
  <si>
    <t xml:space="preserve">Haché porc &amp; veau</t>
  </si>
  <si>
    <t xml:space="preserve">saumon</t>
  </si>
  <si>
    <t xml:space="preserve">Pavés de saumon</t>
  </si>
  <si>
    <t xml:space="preserve">2 × 125 g</t>
  </si>
  <si>
    <t xml:space="preserve">jambon</t>
  </si>
  <si>
    <t xml:space="preserve">Jambon cuit</t>
  </si>
  <si>
    <t xml:space="preserve">pain</t>
  </si>
  <si>
    <t xml:space="preserve">Pain gris tranché</t>
  </si>
  <si>
    <t xml:space="preserve">800 g</t>
  </si>
  <si>
    <t xml:space="preserve">🍞 Boulangerie</t>
  </si>
  <si>
    <t xml:space="preserve">baguette</t>
  </si>
  <si>
    <t xml:space="preserve">Baguette</t>
  </si>
  <si>
    <t xml:space="preserve">pistolets</t>
  </si>
  <si>
    <t xml:space="preserve">Pistolets</t>
  </si>
  <si>
    <t xml:space="preserve">6 pièces</t>
  </si>
  <si>
    <t xml:space="preserve">pates</t>
  </si>
  <si>
    <t xml:space="preserve">Spaghetti</t>
  </si>
  <si>
    <t xml:space="preserve">🥫 Épicerie</t>
  </si>
  <si>
    <t xml:space="preserve">2e-50</t>
  </si>
  <si>
    <t xml:space="preserve">riz</t>
  </si>
  <si>
    <t xml:space="preserve">Riz basmati</t>
  </si>
  <si>
    <t xml:space="preserve">sauce</t>
  </si>
  <si>
    <t xml:space="preserve">Sauce tomate basilic</t>
  </si>
  <si>
    <t xml:space="preserve">420 g</t>
  </si>
  <si>
    <t xml:space="preserve">huile</t>
  </si>
  <si>
    <t xml:space="preserve">Huile d'olive extra vierge</t>
  </si>
  <si>
    <t xml:space="preserve">750 ml</t>
  </si>
  <si>
    <t xml:space="preserve">cafe</t>
  </si>
  <si>
    <t xml:space="preserve">Café moulu</t>
  </si>
  <si>
    <t xml:space="preserve">confiture</t>
  </si>
  <si>
    <t xml:space="preserve">Confiture de fraises</t>
  </si>
  <si>
    <t xml:space="preserve">450 g</t>
  </si>
  <si>
    <t xml:space="preserve">muesli</t>
  </si>
  <si>
    <t xml:space="preserve">Muesli croustillant</t>
  </si>
  <si>
    <t xml:space="preserve">750 g</t>
  </si>
  <si>
    <t xml:space="preserve">chocolat</t>
  </si>
  <si>
    <t xml:space="preserve">Chocolat noir</t>
  </si>
  <si>
    <t xml:space="preserve">100 g</t>
  </si>
  <si>
    <t xml:space="preserve">frites</t>
  </si>
  <si>
    <t xml:space="preserve">Frites surgelées</t>
  </si>
  <si>
    <t xml:space="preserve">🧊 Surgelés</t>
  </si>
  <si>
    <t xml:space="preserve">epinards</t>
  </si>
  <si>
    <t xml:space="preserve">Épinards en branches</t>
  </si>
  <si>
    <t xml:space="preserve">pizza</t>
  </si>
  <si>
    <t xml:space="preserve">Pizza margherita</t>
  </si>
  <si>
    <t xml:space="preserve">-30%</t>
  </si>
  <si>
    <t xml:space="preserve">eau</t>
  </si>
  <si>
    <t xml:space="preserve">Eau pétillante</t>
  </si>
  <si>
    <t xml:space="preserve">6 × 1,5 L</t>
  </si>
  <si>
    <t xml:space="preserve">🥤 Boissons</t>
  </si>
  <si>
    <t xml:space="preserve">jus</t>
  </si>
  <si>
    <t xml:space="preserve">Jus d'orange</t>
  </si>
  <si>
    <t xml:space="preserve">biere</t>
  </si>
  <si>
    <t xml:space="preserve">Bière blonde</t>
  </si>
  <si>
    <t xml:space="preserve">6 × 33 cl</t>
  </si>
  <si>
    <t xml:space="preserve">pq</t>
  </si>
  <si>
    <t xml:space="preserve">Papier toilette</t>
  </si>
  <si>
    <t xml:space="preserve">12 rouleaux</t>
  </si>
  <si>
    <t xml:space="preserve">🧴 Hygiène &amp; Entretien</t>
  </si>
  <si>
    <t xml:space="preserve">lavevaisselle</t>
  </si>
  <si>
    <t xml:space="preserve">Tablettes lave-vaisselle</t>
  </si>
  <si>
    <t xml:space="preserve">30 pièces</t>
  </si>
  <si>
    <t xml:space="preserve">geldouche</t>
  </si>
  <si>
    <t xml:space="preserve">Gel douche</t>
  </si>
  <si>
    <t xml:space="preserve">500 ml</t>
  </si>
  <si>
    <t xml:space="preserve">lessive</t>
  </si>
  <si>
    <t xml:space="preserve">Lessive liquide</t>
  </si>
  <si>
    <t xml:space="preserve">1,5 L</t>
  </si>
  <si>
    <t xml:space="preserve">dentifrice</t>
  </si>
  <si>
    <t xml:space="preserve">Dentifrice</t>
  </si>
  <si>
    <t xml:space="preserve">2 × 75 ml</t>
  </si>
  <si>
    <t xml:space="preserve">lait-eco</t>
  </si>
  <si>
    <t xml:space="preserve">Lait demi-écrémé premier prix</t>
  </si>
  <si>
    <t xml:space="preserve">lait-bio</t>
  </si>
  <si>
    <t xml:space="preserve">Lait demi-écrémé bio</t>
  </si>
  <si>
    <t xml:space="preserve">pates-eco</t>
  </si>
  <si>
    <t xml:space="preserve">Spaghetti premier prix</t>
  </si>
  <si>
    <t xml:space="preserve">cafe-eco</t>
  </si>
  <si>
    <t xml:space="preserve">Café moulu premier prix</t>
  </si>
  <si>
    <t xml:space="preserve">pq-eco</t>
  </si>
  <si>
    <t xml:space="preserve">Papier toilette premier prix</t>
  </si>
  <si>
    <t xml:space="preserve">Catalogue de prix — Mes Courses</t>
  </si>
  <si>
    <t xml:space="preserve">Ce fichier alimente l'app : exporte/enregistre-le en CSV (séparateur ;) sous data/prix.csv puis redéploie.</t>
  </si>
  <si>
    <t xml:space="preserve">Colonnes en BLEU = à remplir/modifier. Colonnes meilleur_prix et enseigne_moins_chere = calculées, ne pas toucher.</t>
  </si>
  <si>
    <t xml:space="preserve">• prix_* : prix en euros (vide = produit indisponible dans l'enseigne)</t>
  </si>
  <si>
    <t xml:space="preserve">• promo_* : « -20% », « 1+1 » (1 acheté 1 gratuit) ou « 2e-50 » (2e à -50 %). Vide = pas de promo.</t>
  </si>
  <si>
    <t xml:space="preserve">• famille : produits de la même famille = alternatives proposées par l'app (ex. lait, lait-eco, lait-bio).</t>
  </si>
  <si>
    <t xml:space="preserve">• date_releve : date du relevé réel (AAAA-MM-JJ). Vide = prix simulé. L'app affiche le badge en conséquence.</t>
  </si>
  <si>
    <t xml:space="preserve">• id : identifiant unique sans espaces ; laisser vide pour les nouveaux produits, l'app le déduit du nom.</t>
  </si>
  <si>
    <t xml:space="preserve">Exemple de ligne valide :</t>
  </si>
  <si>
    <t xml:space="preserve">lait-eco ; lait ; Lait demi-écrémé premier prix ; 1 L ; 🥛 Crèmerie ; 0,89 ;  ; 0,85 ;  ; 0,85 ;  ; 2026-08-23</t>
  </si>
  <si>
    <t xml:space="preserve">Prix actuels : SIMULÉS (ordres de grandeur réalistes, source : démo). Les relevés réels rempliront date_releve.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</si>
</sst>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A34A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1" min="6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1.99</v>
      </c>
      <c r="G2" s="4"/>
      <c r="H2" s="3" t="n">
        <v>1.89</v>
      </c>
      <c r="I2" s="4" t="s">
        <v>18</v>
      </c>
      <c r="J2" s="3" t="n">
        <v>1.75</v>
      </c>
      <c r="K2" s="2"/>
      <c r="L2" s="4"/>
      <c r="M2" s="5" t="n">
        <f aca="false">IF(COUNT(F2,H2,J2)=0,"",MIN(F2,H2,J2))</f>
        <v>1.75</v>
      </c>
      <c r="N2" s="2" t="str">
        <f aca="false">IF(COUNT(F2,H2,J2)=0,"",IF(MIN(F2,H2,J2)=J2,"Colruyt",IF(MIN(F2,H2,J2)=H2,"Carrefour","Delhaize")))</f>
        <v>Colruyt</v>
      </c>
    </row>
    <row r="3" customFormat="false" ht="15" hidden="false" customHeight="false" outlineLevel="0" collapsed="false">
      <c r="A3" s="2" t="s">
        <v>19</v>
      </c>
      <c r="B3" s="2" t="s">
        <v>19</v>
      </c>
      <c r="C3" s="2" t="s">
        <v>20</v>
      </c>
      <c r="D3" s="2" t="s">
        <v>21</v>
      </c>
      <c r="E3" s="2" t="s">
        <v>17</v>
      </c>
      <c r="F3" s="3" t="n">
        <v>4.49</v>
      </c>
      <c r="G3" s="4"/>
      <c r="H3" s="3" t="n">
        <v>4.29</v>
      </c>
      <c r="I3" s="4"/>
      <c r="J3" s="3" t="n">
        <v>3.99</v>
      </c>
      <c r="K3" s="2"/>
      <c r="L3" s="4"/>
      <c r="M3" s="5" t="n">
        <f aca="false">IF(COUNT(F3,H3,J3)=0,"",MIN(F3,H3,J3))</f>
        <v>3.99</v>
      </c>
      <c r="N3" s="2" t="str">
        <f aca="false">IF(COUNT(F3,H3,J3)=0,"",IF(MIN(F3,H3,J3)=J3,"Colruyt",IF(MIN(F3,H3,J3)=H3,"Carrefour","Delhaize")))</f>
        <v>Colruyt</v>
      </c>
    </row>
    <row r="4" customFormat="false" ht="15" hidden="false" customHeight="false" outlineLevel="0" collapsed="false">
      <c r="A4" s="2" t="s">
        <v>22</v>
      </c>
      <c r="B4" s="2" t="s">
        <v>22</v>
      </c>
      <c r="C4" s="2" t="s">
        <v>23</v>
      </c>
      <c r="D4" s="2" t="s">
        <v>16</v>
      </c>
      <c r="E4" s="2" t="s">
        <v>17</v>
      </c>
      <c r="F4" s="3" t="n">
        <v>3.29</v>
      </c>
      <c r="G4" s="4"/>
      <c r="H4" s="3" t="n">
        <v>2.99</v>
      </c>
      <c r="I4" s="4"/>
      <c r="J4" s="3" t="n">
        <v>2.79</v>
      </c>
      <c r="K4" s="2"/>
      <c r="L4" s="4"/>
      <c r="M4" s="5" t="n">
        <f aca="false">IF(COUNT(F4,H4,J4)=0,"",MIN(F4,H4,J4))</f>
        <v>2.79</v>
      </c>
      <c r="N4" s="2" t="str">
        <f aca="false">IF(COUNT(F4,H4,J4)=0,"",IF(MIN(F4,H4,J4)=J4,"Colruyt",IF(MIN(F4,H4,J4)=H4,"Carrefour","Delhaize")))</f>
        <v>Colruyt</v>
      </c>
    </row>
    <row r="5" customFormat="false" ht="15" hidden="false" customHeight="false" outlineLevel="0" collapsed="false">
      <c r="A5" s="2" t="s">
        <v>24</v>
      </c>
      <c r="B5" s="2" t="s">
        <v>24</v>
      </c>
      <c r="C5" s="2" t="s">
        <v>25</v>
      </c>
      <c r="D5" s="2" t="s">
        <v>16</v>
      </c>
      <c r="E5" s="2" t="s">
        <v>17</v>
      </c>
      <c r="F5" s="3" t="n">
        <v>1.49</v>
      </c>
      <c r="G5" s="4"/>
      <c r="H5" s="3" t="n">
        <v>1.39</v>
      </c>
      <c r="I5" s="4"/>
      <c r="J5" s="3" t="n">
        <v>1.19</v>
      </c>
      <c r="K5" s="2"/>
      <c r="L5" s="4"/>
      <c r="M5" s="5" t="n">
        <f aca="false">IF(COUNT(F5,H5,J5)=0,"",MIN(F5,H5,J5))</f>
        <v>1.19</v>
      </c>
      <c r="N5" s="2" t="str">
        <f aca="false">IF(COUNT(F5,H5,J5)=0,"",IF(MIN(F5,H5,J5)=J5,"Colruyt",IF(MIN(F5,H5,J5)=H5,"Carrefour","Delhaize")))</f>
        <v>Colruyt</v>
      </c>
    </row>
    <row r="6" customFormat="false" ht="15" hidden="false" customHeight="false" outlineLevel="0" collapsed="false">
      <c r="A6" s="2" t="s">
        <v>26</v>
      </c>
      <c r="B6" s="2" t="s">
        <v>26</v>
      </c>
      <c r="C6" s="2" t="s">
        <v>27</v>
      </c>
      <c r="D6" s="2" t="s">
        <v>28</v>
      </c>
      <c r="E6" s="2" t="s">
        <v>17</v>
      </c>
      <c r="F6" s="3" t="n">
        <v>3.99</v>
      </c>
      <c r="G6" s="4"/>
      <c r="H6" s="3" t="n">
        <v>3.79</v>
      </c>
      <c r="I6" s="4"/>
      <c r="J6" s="3" t="n">
        <v>3.49</v>
      </c>
      <c r="K6" s="2"/>
      <c r="L6" s="4"/>
      <c r="M6" s="5" t="n">
        <f aca="false">IF(COUNT(F6,H6,J6)=0,"",MIN(F6,H6,J6))</f>
        <v>3.49</v>
      </c>
      <c r="N6" s="2" t="str">
        <f aca="false">IF(COUNT(F6,H6,J6)=0,"",IF(MIN(F6,H6,J6)=J6,"Colruyt",IF(MIN(F6,H6,J6)=H6,"Carrefour","Delhaize")))</f>
        <v>Colruyt</v>
      </c>
    </row>
    <row r="7" customFormat="false" ht="15" hidden="false" customHeight="false" outlineLevel="0" collapsed="false">
      <c r="A7" s="2" t="s">
        <v>29</v>
      </c>
      <c r="B7" s="2" t="s">
        <v>29</v>
      </c>
      <c r="C7" s="2" t="s">
        <v>30</v>
      </c>
      <c r="D7" s="2" t="s">
        <v>16</v>
      </c>
      <c r="E7" s="2" t="s">
        <v>17</v>
      </c>
      <c r="F7" s="3" t="n">
        <v>1.59</v>
      </c>
      <c r="G7" s="4"/>
      <c r="H7" s="3" t="n">
        <v>1.49</v>
      </c>
      <c r="I7" s="4"/>
      <c r="J7" s="3" t="n">
        <v>1.29</v>
      </c>
      <c r="K7" s="2"/>
      <c r="L7" s="4"/>
      <c r="M7" s="5" t="n">
        <f aca="false">IF(COUNT(F7,H7,J7)=0,"",MIN(F7,H7,J7))</f>
        <v>1.29</v>
      </c>
      <c r="N7" s="2" t="str">
        <f aca="false">IF(COUNT(F7,H7,J7)=0,"",IF(MIN(F7,H7,J7)=J7,"Colruyt",IF(MIN(F7,H7,J7)=H7,"Carrefour","Delhaize")))</f>
        <v>Colruyt</v>
      </c>
    </row>
    <row r="8" customFormat="false" ht="15" hidden="false" customHeight="false" outlineLevel="0" collapsed="false">
      <c r="A8" s="2" t="s">
        <v>31</v>
      </c>
      <c r="B8" s="2" t="s">
        <v>31</v>
      </c>
      <c r="C8" s="2" t="s">
        <v>32</v>
      </c>
      <c r="D8" s="2" t="s">
        <v>33</v>
      </c>
      <c r="E8" s="2" t="s">
        <v>17</v>
      </c>
      <c r="F8" s="3" t="n">
        <v>1.49</v>
      </c>
      <c r="G8" s="4"/>
      <c r="H8" s="3" t="n">
        <v>1.39</v>
      </c>
      <c r="I8" s="4"/>
      <c r="J8" s="3" t="n">
        <v>1.25</v>
      </c>
      <c r="K8" s="2"/>
      <c r="L8" s="4"/>
      <c r="M8" s="5" t="n">
        <f aca="false">IF(COUNT(F8,H8,J8)=0,"",MIN(F8,H8,J8))</f>
        <v>1.25</v>
      </c>
      <c r="N8" s="2" t="str">
        <f aca="false">IF(COUNT(F8,H8,J8)=0,"",IF(MIN(F8,H8,J8)=J8,"Colruyt",IF(MIN(F8,H8,J8)=H8,"Carrefour","Delhaize")))</f>
        <v>Colruyt</v>
      </c>
    </row>
    <row r="9" customFormat="false" ht="15" hidden="false" customHeight="false" outlineLevel="0" collapsed="false">
      <c r="A9" s="2" t="s">
        <v>34</v>
      </c>
      <c r="B9" s="2" t="s">
        <v>34</v>
      </c>
      <c r="C9" s="2" t="s">
        <v>35</v>
      </c>
      <c r="D9" s="2" t="s">
        <v>36</v>
      </c>
      <c r="E9" s="2" t="s">
        <v>17</v>
      </c>
      <c r="F9" s="3" t="n">
        <v>2.99</v>
      </c>
      <c r="G9" s="4" t="s">
        <v>37</v>
      </c>
      <c r="H9" s="3" t="n">
        <v>2.79</v>
      </c>
      <c r="I9" s="4"/>
      <c r="J9" s="3" t="n">
        <v>2.59</v>
      </c>
      <c r="K9" s="2"/>
      <c r="L9" s="4"/>
      <c r="M9" s="5" t="n">
        <f aca="false">IF(COUNT(F9,H9,J9)=0,"",MIN(F9,H9,J9))</f>
        <v>2.59</v>
      </c>
      <c r="N9" s="2" t="str">
        <f aca="false">IF(COUNT(F9,H9,J9)=0,"",IF(MIN(F9,H9,J9)=J9,"Colruyt",IF(MIN(F9,H9,J9)=H9,"Carrefour","Delhaize")))</f>
        <v>Colruyt</v>
      </c>
    </row>
    <row r="10" customFormat="false" ht="15" hidden="false" customHeight="false" outlineLevel="0" collapsed="false">
      <c r="A10" s="2" t="s">
        <v>38</v>
      </c>
      <c r="B10" s="2" t="s">
        <v>38</v>
      </c>
      <c r="C10" s="2" t="s">
        <v>39</v>
      </c>
      <c r="D10" s="2" t="s">
        <v>40</v>
      </c>
      <c r="E10" s="2" t="s">
        <v>41</v>
      </c>
      <c r="F10" s="3" t="n">
        <v>1.09</v>
      </c>
      <c r="G10" s="4"/>
      <c r="H10" s="3" t="n">
        <v>1.05</v>
      </c>
      <c r="I10" s="4"/>
      <c r="J10" s="3" t="n">
        <v>0.95</v>
      </c>
      <c r="K10" s="2"/>
      <c r="L10" s="4"/>
      <c r="M10" s="5" t="n">
        <f aca="false">IF(COUNT(F10,H10,J10)=0,"",MIN(F10,H10,J10))</f>
        <v>0.95</v>
      </c>
      <c r="N10" s="2" t="str">
        <f aca="false">IF(COUNT(F10,H10,J10)=0,"",IF(MIN(F10,H10,J10)=J10,"Colruyt",IF(MIN(F10,H10,J10)=H10,"Carrefour","Delhaize")))</f>
        <v>Colruyt</v>
      </c>
    </row>
    <row r="11" customFormat="false" ht="15" hidden="false" customHeight="false" outlineLevel="0" collapsed="false">
      <c r="A11" s="2" t="s">
        <v>42</v>
      </c>
      <c r="B11" s="2" t="s">
        <v>42</v>
      </c>
      <c r="C11" s="2" t="s">
        <v>43</v>
      </c>
      <c r="D11" s="2" t="s">
        <v>44</v>
      </c>
      <c r="E11" s="2" t="s">
        <v>41</v>
      </c>
      <c r="F11" s="3" t="n">
        <v>3.29</v>
      </c>
      <c r="G11" s="4"/>
      <c r="H11" s="3" t="n">
        <v>2.99</v>
      </c>
      <c r="I11" s="4"/>
      <c r="J11" s="3" t="n">
        <v>2.89</v>
      </c>
      <c r="K11" s="2"/>
      <c r="L11" s="4"/>
      <c r="M11" s="5" t="n">
        <f aca="false">IF(COUNT(F11,H11,J11)=0,"",MIN(F11,H11,J11))</f>
        <v>2.89</v>
      </c>
      <c r="N11" s="2" t="str">
        <f aca="false">IF(COUNT(F11,H11,J11)=0,"",IF(MIN(F11,H11,J11)=J11,"Colruyt",IF(MIN(F11,H11,J11)=H11,"Carrefour","Delhaize")))</f>
        <v>Colruyt</v>
      </c>
    </row>
    <row r="12" customFormat="false" ht="15" hidden="false" customHeight="false" outlineLevel="0" collapsed="false">
      <c r="A12" s="2" t="s">
        <v>45</v>
      </c>
      <c r="B12" s="2" t="s">
        <v>45</v>
      </c>
      <c r="C12" s="2" t="s">
        <v>46</v>
      </c>
      <c r="D12" s="2" t="s">
        <v>47</v>
      </c>
      <c r="E12" s="2" t="s">
        <v>41</v>
      </c>
      <c r="F12" s="3" t="n">
        <v>3.79</v>
      </c>
      <c r="G12" s="4" t="s">
        <v>48</v>
      </c>
      <c r="H12" s="3" t="n">
        <v>3.49</v>
      </c>
      <c r="I12" s="4"/>
      <c r="J12" s="3" t="n">
        <v>3.29</v>
      </c>
      <c r="K12" s="2"/>
      <c r="L12" s="4"/>
      <c r="M12" s="5" t="n">
        <f aca="false">IF(COUNT(F12,H12,J12)=0,"",MIN(F12,H12,J12))</f>
        <v>3.29</v>
      </c>
      <c r="N12" s="2" t="str">
        <f aca="false">IF(COUNT(F12,H12,J12)=0,"",IF(MIN(F12,H12,J12)=J12,"Colruyt",IF(MIN(F12,H12,J12)=H12,"Carrefour","Delhaize")))</f>
        <v>Colruyt</v>
      </c>
    </row>
    <row r="13" customFormat="false" ht="15" hidden="false" customHeight="false" outlineLevel="0" collapsed="false">
      <c r="A13" s="2" t="s">
        <v>49</v>
      </c>
      <c r="B13" s="2" t="s">
        <v>49</v>
      </c>
      <c r="C13" s="2" t="s">
        <v>50</v>
      </c>
      <c r="D13" s="2" t="s">
        <v>51</v>
      </c>
      <c r="E13" s="2" t="s">
        <v>41</v>
      </c>
      <c r="F13" s="3" t="n">
        <v>2.19</v>
      </c>
      <c r="G13" s="4"/>
      <c r="H13" s="3" t="n">
        <v>1.99</v>
      </c>
      <c r="I13" s="4" t="s">
        <v>52</v>
      </c>
      <c r="J13" s="3" t="n">
        <v>1.85</v>
      </c>
      <c r="K13" s="2"/>
      <c r="L13" s="4"/>
      <c r="M13" s="5" t="n">
        <f aca="false">IF(COUNT(F13,H13,J13)=0,"",MIN(F13,H13,J13))</f>
        <v>1.85</v>
      </c>
      <c r="N13" s="2" t="str">
        <f aca="false">IF(COUNT(F13,H13,J13)=0,"",IF(MIN(F13,H13,J13)=J13,"Colruyt",IF(MIN(F13,H13,J13)=H13,"Carrefour","Delhaize")))</f>
        <v>Colruyt</v>
      </c>
    </row>
    <row r="14" customFormat="false" ht="15" hidden="false" customHeight="false" outlineLevel="0" collapsed="false">
      <c r="A14" s="2" t="s">
        <v>53</v>
      </c>
      <c r="B14" s="2" t="s">
        <v>53</v>
      </c>
      <c r="C14" s="2" t="s">
        <v>54</v>
      </c>
      <c r="D14" s="2" t="s">
        <v>55</v>
      </c>
      <c r="E14" s="2" t="s">
        <v>41</v>
      </c>
      <c r="F14" s="3" t="n">
        <v>3.99</v>
      </c>
      <c r="G14" s="4"/>
      <c r="H14" s="3" t="n">
        <v>3.79</v>
      </c>
      <c r="I14" s="4"/>
      <c r="J14" s="3" t="n">
        <v>3.49</v>
      </c>
      <c r="K14" s="2"/>
      <c r="L14" s="4"/>
      <c r="M14" s="5" t="n">
        <f aca="false">IF(COUNT(F14,H14,J14)=0,"",MIN(F14,H14,J14))</f>
        <v>3.49</v>
      </c>
      <c r="N14" s="2" t="str">
        <f aca="false">IF(COUNT(F14,H14,J14)=0,"",IF(MIN(F14,H14,J14)=J14,"Colruyt",IF(MIN(F14,H14,J14)=H14,"Carrefour","Delhaize")))</f>
        <v>Colruyt</v>
      </c>
    </row>
    <row r="15" customFormat="false" ht="15" hidden="false" customHeight="false" outlineLevel="0" collapsed="false">
      <c r="A15" s="2" t="s">
        <v>56</v>
      </c>
      <c r="B15" s="2" t="s">
        <v>56</v>
      </c>
      <c r="C15" s="2" t="s">
        <v>57</v>
      </c>
      <c r="D15" s="2" t="s">
        <v>58</v>
      </c>
      <c r="E15" s="2" t="s">
        <v>41</v>
      </c>
      <c r="F15" s="3" t="n">
        <v>2.49</v>
      </c>
      <c r="G15" s="4"/>
      <c r="H15" s="3" t="n">
        <v>2.29</v>
      </c>
      <c r="I15" s="4"/>
      <c r="J15" s="3" t="n">
        <v>2.19</v>
      </c>
      <c r="K15" s="2"/>
      <c r="L15" s="4"/>
      <c r="M15" s="5" t="n">
        <f aca="false">IF(COUNT(F15,H15,J15)=0,"",MIN(F15,H15,J15))</f>
        <v>2.19</v>
      </c>
      <c r="N15" s="2" t="str">
        <f aca="false">IF(COUNT(F15,H15,J15)=0,"",IF(MIN(F15,H15,J15)=J15,"Colruyt",IF(MIN(F15,H15,J15)=H15,"Carrefour","Delhaize")))</f>
        <v>Colruyt</v>
      </c>
    </row>
    <row r="16" customFormat="false" ht="15" hidden="false" customHeight="false" outlineLevel="0" collapsed="false">
      <c r="A16" s="2" t="s">
        <v>59</v>
      </c>
      <c r="B16" s="2" t="s">
        <v>59</v>
      </c>
      <c r="C16" s="2" t="s">
        <v>60</v>
      </c>
      <c r="D16" s="2" t="s">
        <v>61</v>
      </c>
      <c r="E16" s="2" t="s">
        <v>62</v>
      </c>
      <c r="F16" s="3" t="n">
        <v>6.49</v>
      </c>
      <c r="G16" s="4" t="s">
        <v>37</v>
      </c>
      <c r="H16" s="3" t="n">
        <v>5.99</v>
      </c>
      <c r="I16" s="4"/>
      <c r="J16" s="3" t="n">
        <v>5.79</v>
      </c>
      <c r="K16" s="2"/>
      <c r="L16" s="4"/>
      <c r="M16" s="5" t="n">
        <f aca="false">IF(COUNT(F16,H16,J16)=0,"",MIN(F16,H16,J16))</f>
        <v>5.79</v>
      </c>
      <c r="N16" s="2" t="str">
        <f aca="false">IF(COUNT(F16,H16,J16)=0,"",IF(MIN(F16,H16,J16)=J16,"Colruyt",IF(MIN(F16,H16,J16)=H16,"Carrefour","Delhaize")))</f>
        <v>Colruyt</v>
      </c>
    </row>
    <row r="17" customFormat="false" ht="15" hidden="false" customHeight="false" outlineLevel="0" collapsed="false">
      <c r="A17" s="2" t="s">
        <v>63</v>
      </c>
      <c r="B17" s="2" t="s">
        <v>63</v>
      </c>
      <c r="C17" s="2" t="s">
        <v>64</v>
      </c>
      <c r="D17" s="2" t="s">
        <v>61</v>
      </c>
      <c r="E17" s="2" t="s">
        <v>62</v>
      </c>
      <c r="F17" s="3" t="n">
        <v>4.99</v>
      </c>
      <c r="G17" s="4"/>
      <c r="H17" s="3" t="n">
        <v>4.79</v>
      </c>
      <c r="I17" s="4"/>
      <c r="J17" s="3" t="n">
        <v>4.49</v>
      </c>
      <c r="K17" s="2"/>
      <c r="L17" s="4"/>
      <c r="M17" s="5" t="n">
        <f aca="false">IF(COUNT(F17,H17,J17)=0,"",MIN(F17,H17,J17))</f>
        <v>4.49</v>
      </c>
      <c r="N17" s="2" t="str">
        <f aca="false">IF(COUNT(F17,H17,J17)=0,"",IF(MIN(F17,H17,J17)=J17,"Colruyt",IF(MIN(F17,H17,J17)=H17,"Carrefour","Delhaize")))</f>
        <v>Colruyt</v>
      </c>
    </row>
    <row r="18" customFormat="false" ht="15" hidden="false" customHeight="false" outlineLevel="0" collapsed="false">
      <c r="A18" s="2" t="s">
        <v>65</v>
      </c>
      <c r="B18" s="2" t="s">
        <v>65</v>
      </c>
      <c r="C18" s="2" t="s">
        <v>66</v>
      </c>
      <c r="D18" s="2" t="s">
        <v>67</v>
      </c>
      <c r="E18" s="2" t="s">
        <v>62</v>
      </c>
      <c r="F18" s="3" t="n">
        <v>8.99</v>
      </c>
      <c r="G18" s="4"/>
      <c r="H18" s="3" t="n">
        <v>8.49</v>
      </c>
      <c r="I18" s="4"/>
      <c r="J18" s="3" t="n">
        <v>7.99</v>
      </c>
      <c r="K18" s="2" t="s">
        <v>48</v>
      </c>
      <c r="L18" s="4"/>
      <c r="M18" s="5" t="n">
        <f aca="false">IF(COUNT(F18,H18,J18)=0,"",MIN(F18,H18,J18))</f>
        <v>7.99</v>
      </c>
      <c r="N18" s="2" t="str">
        <f aca="false">IF(COUNT(F18,H18,J18)=0,"",IF(MIN(F18,H18,J18)=J18,"Colruyt",IF(MIN(F18,H18,J18)=H18,"Carrefour","Delhaize")))</f>
        <v>Colruyt</v>
      </c>
    </row>
    <row r="19" customFormat="false" ht="15" hidden="false" customHeight="false" outlineLevel="0" collapsed="false">
      <c r="A19" s="2" t="s">
        <v>68</v>
      </c>
      <c r="B19" s="2" t="s">
        <v>68</v>
      </c>
      <c r="C19" s="2" t="s">
        <v>69</v>
      </c>
      <c r="D19" s="2" t="s">
        <v>58</v>
      </c>
      <c r="E19" s="2" t="s">
        <v>62</v>
      </c>
      <c r="F19" s="3" t="n">
        <v>3.49</v>
      </c>
      <c r="G19" s="4"/>
      <c r="H19" s="3" t="n">
        <v>3.29</v>
      </c>
      <c r="I19" s="4"/>
      <c r="J19" s="3" t="n">
        <v>2.99</v>
      </c>
      <c r="K19" s="2"/>
      <c r="L19" s="4"/>
      <c r="M19" s="5" t="n">
        <f aca="false">IF(COUNT(F19,H19,J19)=0,"",MIN(F19,H19,J19))</f>
        <v>2.99</v>
      </c>
      <c r="N19" s="2" t="str">
        <f aca="false">IF(COUNT(F19,H19,J19)=0,"",IF(MIN(F19,H19,J19)=J19,"Colruyt",IF(MIN(F19,H19,J19)=H19,"Carrefour","Delhaize")))</f>
        <v>Colruyt</v>
      </c>
    </row>
    <row r="20" customFormat="false" ht="15" hidden="false" customHeight="false" outlineLevel="0" collapsed="false">
      <c r="A20" s="2" t="s">
        <v>70</v>
      </c>
      <c r="B20" s="2" t="s">
        <v>70</v>
      </c>
      <c r="C20" s="2" t="s">
        <v>71</v>
      </c>
      <c r="D20" s="2" t="s">
        <v>72</v>
      </c>
      <c r="E20" s="2" t="s">
        <v>73</v>
      </c>
      <c r="F20" s="3" t="n">
        <v>2.59</v>
      </c>
      <c r="G20" s="4"/>
      <c r="H20" s="3" t="n">
        <v>2.39</v>
      </c>
      <c r="I20" s="4"/>
      <c r="J20" s="3" t="n">
        <v>2.19</v>
      </c>
      <c r="K20" s="2"/>
      <c r="L20" s="4"/>
      <c r="M20" s="5" t="n">
        <f aca="false">IF(COUNT(F20,H20,J20)=0,"",MIN(F20,H20,J20))</f>
        <v>2.19</v>
      </c>
      <c r="N20" s="2" t="str">
        <f aca="false">IF(COUNT(F20,H20,J20)=0,"",IF(MIN(F20,H20,J20)=J20,"Colruyt",IF(MIN(F20,H20,J20)=H20,"Carrefour","Delhaize")))</f>
        <v>Colruyt</v>
      </c>
    </row>
    <row r="21" customFormat="false" ht="15" hidden="false" customHeight="false" outlineLevel="0" collapsed="false">
      <c r="A21" s="2" t="s">
        <v>74</v>
      </c>
      <c r="B21" s="2" t="s">
        <v>74</v>
      </c>
      <c r="C21" s="2" t="s">
        <v>75</v>
      </c>
      <c r="D21" s="2" t="s">
        <v>33</v>
      </c>
      <c r="E21" s="2" t="s">
        <v>73</v>
      </c>
      <c r="F21" s="3" t="n">
        <v>1.19</v>
      </c>
      <c r="G21" s="4"/>
      <c r="H21" s="3" t="n">
        <v>1.09</v>
      </c>
      <c r="I21" s="4"/>
      <c r="J21" s="3" t="n">
        <v>0.99</v>
      </c>
      <c r="K21" s="2"/>
      <c r="L21" s="4"/>
      <c r="M21" s="5" t="n">
        <f aca="false">IF(COUNT(F21,H21,J21)=0,"",MIN(F21,H21,J21))</f>
        <v>0.99</v>
      </c>
      <c r="N21" s="2" t="str">
        <f aca="false">IF(COUNT(F21,H21,J21)=0,"",IF(MIN(F21,H21,J21)=J21,"Colruyt",IF(MIN(F21,H21,J21)=H21,"Carrefour","Delhaize")))</f>
        <v>Colruyt</v>
      </c>
    </row>
    <row r="22" customFormat="false" ht="15" hidden="false" customHeight="false" outlineLevel="0" collapsed="false">
      <c r="A22" s="2" t="s">
        <v>76</v>
      </c>
      <c r="B22" s="2" t="s">
        <v>76</v>
      </c>
      <c r="C22" s="2" t="s">
        <v>77</v>
      </c>
      <c r="D22" s="2" t="s">
        <v>78</v>
      </c>
      <c r="E22" s="2" t="s">
        <v>73</v>
      </c>
      <c r="F22" s="3" t="n">
        <v>2.1</v>
      </c>
      <c r="G22" s="4"/>
      <c r="H22" s="4"/>
      <c r="I22" s="4"/>
      <c r="J22" s="3" t="n">
        <v>1.89</v>
      </c>
      <c r="K22" s="2"/>
      <c r="L22" s="4"/>
      <c r="M22" s="5" t="n">
        <f aca="false">IF(COUNT(F22,H22,J22)=0,"",MIN(F22,H22,J22))</f>
        <v>1.89</v>
      </c>
      <c r="N22" s="2" t="str">
        <f aca="false">IF(COUNT(F22,H22,J22)=0,"",IF(MIN(F22,H22,J22)=J22,"Colruyt",IF(MIN(F22,H22,J22)=H22,"Carrefour","Delhaize")))</f>
        <v>Colruyt</v>
      </c>
    </row>
    <row r="23" customFormat="false" ht="15" hidden="false" customHeight="false" outlineLevel="0" collapsed="false">
      <c r="A23" s="2" t="s">
        <v>79</v>
      </c>
      <c r="B23" s="2" t="s">
        <v>79</v>
      </c>
      <c r="C23" s="2" t="s">
        <v>80</v>
      </c>
      <c r="D23" s="2" t="s">
        <v>61</v>
      </c>
      <c r="E23" s="2" t="s">
        <v>81</v>
      </c>
      <c r="F23" s="3" t="n">
        <v>1.29</v>
      </c>
      <c r="G23" s="4"/>
      <c r="H23" s="3" t="n">
        <v>1.19</v>
      </c>
      <c r="I23" s="4" t="s">
        <v>82</v>
      </c>
      <c r="J23" s="3" t="n">
        <v>0.99</v>
      </c>
      <c r="K23" s="2"/>
      <c r="L23" s="4"/>
      <c r="M23" s="5" t="n">
        <f aca="false">IF(COUNT(F23,H23,J23)=0,"",MIN(F23,H23,J23))</f>
        <v>0.99</v>
      </c>
      <c r="N23" s="2" t="str">
        <f aca="false">IF(COUNT(F23,H23,J23)=0,"",IF(MIN(F23,H23,J23)=J23,"Colruyt",IF(MIN(F23,H23,J23)=H23,"Carrefour","Delhaize")))</f>
        <v>Colruyt</v>
      </c>
    </row>
    <row r="24" customFormat="false" ht="15" hidden="false" customHeight="false" outlineLevel="0" collapsed="false">
      <c r="A24" s="2" t="s">
        <v>83</v>
      </c>
      <c r="B24" s="2" t="s">
        <v>83</v>
      </c>
      <c r="C24" s="2" t="s">
        <v>84</v>
      </c>
      <c r="D24" s="2" t="s">
        <v>16</v>
      </c>
      <c r="E24" s="2" t="s">
        <v>81</v>
      </c>
      <c r="F24" s="3" t="n">
        <v>2.99</v>
      </c>
      <c r="G24" s="4"/>
      <c r="H24" s="3" t="n">
        <v>2.79</v>
      </c>
      <c r="I24" s="4"/>
      <c r="J24" s="3" t="n">
        <v>2.59</v>
      </c>
      <c r="K24" s="2"/>
      <c r="L24" s="4"/>
      <c r="M24" s="5" t="n">
        <f aca="false">IF(COUNT(F24,H24,J24)=0,"",MIN(F24,H24,J24))</f>
        <v>2.59</v>
      </c>
      <c r="N24" s="2" t="str">
        <f aca="false">IF(COUNT(F24,H24,J24)=0,"",IF(MIN(F24,H24,J24)=J24,"Colruyt",IF(MIN(F24,H24,J24)=H24,"Carrefour","Delhaize")))</f>
        <v>Colruyt</v>
      </c>
    </row>
    <row r="25" customFormat="false" ht="15" hidden="false" customHeight="false" outlineLevel="0" collapsed="false">
      <c r="A25" s="2" t="s">
        <v>85</v>
      </c>
      <c r="B25" s="2" t="s">
        <v>85</v>
      </c>
      <c r="C25" s="2" t="s">
        <v>86</v>
      </c>
      <c r="D25" s="2" t="s">
        <v>87</v>
      </c>
      <c r="E25" s="2" t="s">
        <v>81</v>
      </c>
      <c r="F25" s="3" t="n">
        <v>1.99</v>
      </c>
      <c r="G25" s="4"/>
      <c r="H25" s="3" t="n">
        <v>1.89</v>
      </c>
      <c r="I25" s="4"/>
      <c r="J25" s="3" t="n">
        <v>1.69</v>
      </c>
      <c r="K25" s="2"/>
      <c r="L25" s="4"/>
      <c r="M25" s="5" t="n">
        <f aca="false">IF(COUNT(F25,H25,J25)=0,"",MIN(F25,H25,J25))</f>
        <v>1.69</v>
      </c>
      <c r="N25" s="2" t="str">
        <f aca="false">IF(COUNT(F25,H25,J25)=0,"",IF(MIN(F25,H25,J25)=J25,"Colruyt",IF(MIN(F25,H25,J25)=H25,"Carrefour","Delhaize")))</f>
        <v>Colruyt</v>
      </c>
    </row>
    <row r="26" customFormat="false" ht="15" hidden="false" customHeight="false" outlineLevel="0" collapsed="false">
      <c r="A26" s="2" t="s">
        <v>88</v>
      </c>
      <c r="B26" s="2" t="s">
        <v>88</v>
      </c>
      <c r="C26" s="2" t="s">
        <v>89</v>
      </c>
      <c r="D26" s="2" t="s">
        <v>90</v>
      </c>
      <c r="E26" s="2" t="s">
        <v>81</v>
      </c>
      <c r="F26" s="3" t="n">
        <v>7.99</v>
      </c>
      <c r="G26" s="4" t="s">
        <v>18</v>
      </c>
      <c r="H26" s="3" t="n">
        <v>7.49</v>
      </c>
      <c r="I26" s="4"/>
      <c r="J26" s="3" t="n">
        <v>6.99</v>
      </c>
      <c r="K26" s="2"/>
      <c r="L26" s="4"/>
      <c r="M26" s="5" t="n">
        <f aca="false">IF(COUNT(F26,H26,J26)=0,"",MIN(F26,H26,J26))</f>
        <v>6.99</v>
      </c>
      <c r="N26" s="2" t="str">
        <f aca="false">IF(COUNT(F26,H26,J26)=0,"",IF(MIN(F26,H26,J26)=J26,"Colruyt",IF(MIN(F26,H26,J26)=H26,"Carrefour","Delhaize")))</f>
        <v>Colruyt</v>
      </c>
    </row>
    <row r="27" customFormat="false" ht="15" hidden="false" customHeight="false" outlineLevel="0" collapsed="false">
      <c r="A27" s="2" t="s">
        <v>91</v>
      </c>
      <c r="B27" s="2" t="s">
        <v>91</v>
      </c>
      <c r="C27" s="2" t="s">
        <v>92</v>
      </c>
      <c r="D27" s="2" t="s">
        <v>61</v>
      </c>
      <c r="E27" s="2" t="s">
        <v>81</v>
      </c>
      <c r="F27" s="3" t="n">
        <v>6.49</v>
      </c>
      <c r="G27" s="4"/>
      <c r="H27" s="3" t="n">
        <v>5.99</v>
      </c>
      <c r="I27" s="4"/>
      <c r="J27" s="3" t="n">
        <v>5.69</v>
      </c>
      <c r="K27" s="2" t="s">
        <v>18</v>
      </c>
      <c r="L27" s="4"/>
      <c r="M27" s="5" t="n">
        <f aca="false">IF(COUNT(F27,H27,J27)=0,"",MIN(F27,H27,J27))</f>
        <v>5.69</v>
      </c>
      <c r="N27" s="2" t="str">
        <f aca="false">IF(COUNT(F27,H27,J27)=0,"",IF(MIN(F27,H27,J27)=J27,"Colruyt",IF(MIN(F27,H27,J27)=H27,"Carrefour","Delhaize")))</f>
        <v>Colruyt</v>
      </c>
    </row>
    <row r="28" customFormat="false" ht="15" hidden="false" customHeight="false" outlineLevel="0" collapsed="false">
      <c r="A28" s="2" t="s">
        <v>93</v>
      </c>
      <c r="B28" s="2" t="s">
        <v>93</v>
      </c>
      <c r="C28" s="2" t="s">
        <v>94</v>
      </c>
      <c r="D28" s="2" t="s">
        <v>95</v>
      </c>
      <c r="E28" s="2" t="s">
        <v>81</v>
      </c>
      <c r="F28" s="3" t="n">
        <v>2.79</v>
      </c>
      <c r="G28" s="4"/>
      <c r="H28" s="3" t="n">
        <v>2.59</v>
      </c>
      <c r="I28" s="4"/>
      <c r="J28" s="3" t="n">
        <v>2.39</v>
      </c>
      <c r="K28" s="2"/>
      <c r="L28" s="4"/>
      <c r="M28" s="5" t="n">
        <f aca="false">IF(COUNT(F28,H28,J28)=0,"",MIN(F28,H28,J28))</f>
        <v>2.39</v>
      </c>
      <c r="N28" s="2" t="str">
        <f aca="false">IF(COUNT(F28,H28,J28)=0,"",IF(MIN(F28,H28,J28)=J28,"Colruyt",IF(MIN(F28,H28,J28)=H28,"Carrefour","Delhaize")))</f>
        <v>Colruyt</v>
      </c>
    </row>
    <row r="29" customFormat="false" ht="15" hidden="false" customHeight="false" outlineLevel="0" collapsed="false">
      <c r="A29" s="2" t="s">
        <v>96</v>
      </c>
      <c r="B29" s="2" t="s">
        <v>96</v>
      </c>
      <c r="C29" s="2" t="s">
        <v>97</v>
      </c>
      <c r="D29" s="2" t="s">
        <v>98</v>
      </c>
      <c r="E29" s="2" t="s">
        <v>81</v>
      </c>
      <c r="F29" s="3" t="n">
        <v>3.99</v>
      </c>
      <c r="G29" s="4"/>
      <c r="H29" s="3" t="n">
        <v>3.69</v>
      </c>
      <c r="I29" s="4"/>
      <c r="J29" s="3" t="n">
        <v>3.49</v>
      </c>
      <c r="K29" s="2"/>
      <c r="L29" s="4"/>
      <c r="M29" s="5" t="n">
        <f aca="false">IF(COUNT(F29,H29,J29)=0,"",MIN(F29,H29,J29))</f>
        <v>3.49</v>
      </c>
      <c r="N29" s="2" t="str">
        <f aca="false">IF(COUNT(F29,H29,J29)=0,"",IF(MIN(F29,H29,J29)=J29,"Colruyt",IF(MIN(F29,H29,J29)=H29,"Carrefour","Delhaize")))</f>
        <v>Colruyt</v>
      </c>
    </row>
    <row r="30" customFormat="false" ht="15" hidden="false" customHeight="false" outlineLevel="0" collapsed="false">
      <c r="A30" s="2" t="s">
        <v>99</v>
      </c>
      <c r="B30" s="2" t="s">
        <v>99</v>
      </c>
      <c r="C30" s="2" t="s">
        <v>100</v>
      </c>
      <c r="D30" s="2" t="s">
        <v>101</v>
      </c>
      <c r="E30" s="2" t="s">
        <v>81</v>
      </c>
      <c r="F30" s="3" t="n">
        <v>2.49</v>
      </c>
      <c r="G30" s="4" t="s">
        <v>52</v>
      </c>
      <c r="H30" s="3" t="n">
        <v>2.29</v>
      </c>
      <c r="I30" s="4"/>
      <c r="J30" s="3" t="n">
        <v>2.19</v>
      </c>
      <c r="K30" s="2"/>
      <c r="L30" s="4"/>
      <c r="M30" s="5" t="n">
        <f aca="false">IF(COUNT(F30,H30,J30)=0,"",MIN(F30,H30,J30))</f>
        <v>2.19</v>
      </c>
      <c r="N30" s="2" t="str">
        <f aca="false">IF(COUNT(F30,H30,J30)=0,"",IF(MIN(F30,H30,J30)=J30,"Colruyt",IF(MIN(F30,H30,J30)=H30,"Carrefour","Delhaize")))</f>
        <v>Colruyt</v>
      </c>
    </row>
    <row r="31" customFormat="false" ht="15" hidden="false" customHeight="false" outlineLevel="0" collapsed="false">
      <c r="A31" s="2" t="s">
        <v>102</v>
      </c>
      <c r="B31" s="2" t="s">
        <v>102</v>
      </c>
      <c r="C31" s="2" t="s">
        <v>103</v>
      </c>
      <c r="D31" s="2" t="s">
        <v>16</v>
      </c>
      <c r="E31" s="2" t="s">
        <v>104</v>
      </c>
      <c r="F31" s="3" t="n">
        <v>2.89</v>
      </c>
      <c r="G31" s="4"/>
      <c r="H31" s="3" t="n">
        <v>2.69</v>
      </c>
      <c r="I31" s="4"/>
      <c r="J31" s="3" t="n">
        <v>2.49</v>
      </c>
      <c r="K31" s="2"/>
      <c r="L31" s="4"/>
      <c r="M31" s="5" t="n">
        <f aca="false">IF(COUNT(F31,H31,J31)=0,"",MIN(F31,H31,J31))</f>
        <v>2.49</v>
      </c>
      <c r="N31" s="2" t="str">
        <f aca="false">IF(COUNT(F31,H31,J31)=0,"",IF(MIN(F31,H31,J31)=J31,"Colruyt",IF(MIN(F31,H31,J31)=H31,"Carrefour","Delhaize")))</f>
        <v>Colruyt</v>
      </c>
    </row>
    <row r="32" customFormat="false" ht="15" hidden="false" customHeight="false" outlineLevel="0" collapsed="false">
      <c r="A32" s="2" t="s">
        <v>105</v>
      </c>
      <c r="B32" s="2" t="s">
        <v>105</v>
      </c>
      <c r="C32" s="2" t="s">
        <v>106</v>
      </c>
      <c r="D32" s="2" t="s">
        <v>95</v>
      </c>
      <c r="E32" s="2" t="s">
        <v>104</v>
      </c>
      <c r="F32" s="3" t="n">
        <v>2.19</v>
      </c>
      <c r="G32" s="4"/>
      <c r="H32" s="3" t="n">
        <v>1.99</v>
      </c>
      <c r="I32" s="4"/>
      <c r="J32" s="3" t="n">
        <v>1.89</v>
      </c>
      <c r="K32" s="2"/>
      <c r="L32" s="4"/>
      <c r="M32" s="5" t="n">
        <f aca="false">IF(COUNT(F32,H32,J32)=0,"",MIN(F32,H32,J32))</f>
        <v>1.89</v>
      </c>
      <c r="N32" s="2" t="str">
        <f aca="false">IF(COUNT(F32,H32,J32)=0,"",IF(MIN(F32,H32,J32)=J32,"Colruyt",IF(MIN(F32,H32,J32)=H32,"Carrefour","Delhaize")))</f>
        <v>Colruyt</v>
      </c>
    </row>
    <row r="33" customFormat="false" ht="15" hidden="false" customHeight="false" outlineLevel="0" collapsed="false">
      <c r="A33" s="2" t="s">
        <v>107</v>
      </c>
      <c r="B33" s="2" t="s">
        <v>107</v>
      </c>
      <c r="C33" s="2" t="s">
        <v>108</v>
      </c>
      <c r="D33" s="2" t="s">
        <v>33</v>
      </c>
      <c r="E33" s="2" t="s">
        <v>104</v>
      </c>
      <c r="F33" s="3" t="n">
        <v>3.49</v>
      </c>
      <c r="G33" s="4"/>
      <c r="H33" s="3" t="n">
        <v>3.29</v>
      </c>
      <c r="I33" s="4" t="s">
        <v>109</v>
      </c>
      <c r="J33" s="3" t="n">
        <v>2.99</v>
      </c>
      <c r="K33" s="2"/>
      <c r="L33" s="4"/>
      <c r="M33" s="5" t="n">
        <f aca="false">IF(COUNT(F33,H33,J33)=0,"",MIN(F33,H33,J33))</f>
        <v>2.99</v>
      </c>
      <c r="N33" s="2" t="str">
        <f aca="false">IF(COUNT(F33,H33,J33)=0,"",IF(MIN(F33,H33,J33)=J33,"Colruyt",IF(MIN(F33,H33,J33)=H33,"Carrefour","Delhaize")))</f>
        <v>Colruyt</v>
      </c>
    </row>
    <row r="34" customFormat="false" ht="15" hidden="false" customHeight="false" outlineLevel="0" collapsed="false">
      <c r="A34" s="2" t="s">
        <v>110</v>
      </c>
      <c r="B34" s="2" t="s">
        <v>110</v>
      </c>
      <c r="C34" s="2" t="s">
        <v>111</v>
      </c>
      <c r="D34" s="2" t="s">
        <v>112</v>
      </c>
      <c r="E34" s="2" t="s">
        <v>113</v>
      </c>
      <c r="F34" s="3" t="n">
        <v>3.99</v>
      </c>
      <c r="G34" s="4"/>
      <c r="H34" s="3" t="n">
        <v>3.79</v>
      </c>
      <c r="I34" s="4"/>
      <c r="J34" s="3" t="n">
        <v>3.49</v>
      </c>
      <c r="K34" s="2"/>
      <c r="L34" s="4"/>
      <c r="M34" s="5" t="n">
        <f aca="false">IF(COUNT(F34,H34,J34)=0,"",MIN(F34,H34,J34))</f>
        <v>3.49</v>
      </c>
      <c r="N34" s="2" t="str">
        <f aca="false">IF(COUNT(F34,H34,J34)=0,"",IF(MIN(F34,H34,J34)=J34,"Colruyt",IF(MIN(F34,H34,J34)=H34,"Carrefour","Delhaize")))</f>
        <v>Colruyt</v>
      </c>
    </row>
    <row r="35" customFormat="false" ht="15" hidden="false" customHeight="false" outlineLevel="0" collapsed="false">
      <c r="A35" s="2" t="s">
        <v>114</v>
      </c>
      <c r="B35" s="2" t="s">
        <v>114</v>
      </c>
      <c r="C35" s="2" t="s">
        <v>115</v>
      </c>
      <c r="D35" s="2" t="s">
        <v>40</v>
      </c>
      <c r="E35" s="2" t="s">
        <v>113</v>
      </c>
      <c r="F35" s="3" t="n">
        <v>2.29</v>
      </c>
      <c r="G35" s="4"/>
      <c r="H35" s="3" t="n">
        <v>2.19</v>
      </c>
      <c r="I35" s="4"/>
      <c r="J35" s="3" t="n">
        <v>1.99</v>
      </c>
      <c r="K35" s="2"/>
      <c r="L35" s="4"/>
      <c r="M35" s="5" t="n">
        <f aca="false">IF(COUNT(F35,H35,J35)=0,"",MIN(F35,H35,J35))</f>
        <v>1.99</v>
      </c>
      <c r="N35" s="2" t="str">
        <f aca="false">IF(COUNT(F35,H35,J35)=0,"",IF(MIN(F35,H35,J35)=J35,"Colruyt",IF(MIN(F35,H35,J35)=H35,"Carrefour","Delhaize")))</f>
        <v>Colruyt</v>
      </c>
    </row>
    <row r="36" customFormat="false" ht="15" hidden="false" customHeight="false" outlineLevel="0" collapsed="false">
      <c r="A36" s="2" t="s">
        <v>116</v>
      </c>
      <c r="B36" s="2" t="s">
        <v>116</v>
      </c>
      <c r="C36" s="2" t="s">
        <v>117</v>
      </c>
      <c r="D36" s="2" t="s">
        <v>118</v>
      </c>
      <c r="E36" s="2" t="s">
        <v>113</v>
      </c>
      <c r="F36" s="3" t="n">
        <v>5.99</v>
      </c>
      <c r="G36" s="4" t="s">
        <v>18</v>
      </c>
      <c r="H36" s="3" t="n">
        <v>5.79</v>
      </c>
      <c r="I36" s="4"/>
      <c r="J36" s="3" t="n">
        <v>5.49</v>
      </c>
      <c r="K36" s="2"/>
      <c r="L36" s="4"/>
      <c r="M36" s="5" t="n">
        <f aca="false">IF(COUNT(F36,H36,J36)=0,"",MIN(F36,H36,J36))</f>
        <v>5.49</v>
      </c>
      <c r="N36" s="2" t="str">
        <f aca="false">IF(COUNT(F36,H36,J36)=0,"",IF(MIN(F36,H36,J36)=J36,"Colruyt",IF(MIN(F36,H36,J36)=H36,"Carrefour","Delhaize")))</f>
        <v>Colruyt</v>
      </c>
    </row>
    <row r="37" customFormat="false" ht="15" hidden="false" customHeight="false" outlineLevel="0" collapsed="false">
      <c r="A37" s="2" t="s">
        <v>119</v>
      </c>
      <c r="B37" s="2" t="s">
        <v>119</v>
      </c>
      <c r="C37" s="2" t="s">
        <v>120</v>
      </c>
      <c r="D37" s="2" t="s">
        <v>121</v>
      </c>
      <c r="E37" s="2" t="s">
        <v>122</v>
      </c>
      <c r="F37" s="3" t="n">
        <v>6.99</v>
      </c>
      <c r="G37" s="4"/>
      <c r="H37" s="3" t="n">
        <v>6.49</v>
      </c>
      <c r="I37" s="4" t="s">
        <v>37</v>
      </c>
      <c r="J37" s="3" t="n">
        <v>5.99</v>
      </c>
      <c r="K37" s="2"/>
      <c r="L37" s="4"/>
      <c r="M37" s="5" t="n">
        <f aca="false">IF(COUNT(F37,H37,J37)=0,"",MIN(F37,H37,J37))</f>
        <v>5.99</v>
      </c>
      <c r="N37" s="2" t="str">
        <f aca="false">IF(COUNT(F37,H37,J37)=0,"",IF(MIN(F37,H37,J37)=J37,"Colruyt",IF(MIN(F37,H37,J37)=H37,"Carrefour","Delhaize")))</f>
        <v>Colruyt</v>
      </c>
    </row>
    <row r="38" customFormat="false" ht="15" hidden="false" customHeight="false" outlineLevel="0" collapsed="false">
      <c r="A38" s="2" t="s">
        <v>123</v>
      </c>
      <c r="B38" s="2" t="s">
        <v>123</v>
      </c>
      <c r="C38" s="2" t="s">
        <v>124</v>
      </c>
      <c r="D38" s="2" t="s">
        <v>125</v>
      </c>
      <c r="E38" s="2" t="s">
        <v>122</v>
      </c>
      <c r="F38" s="3" t="n">
        <v>8.99</v>
      </c>
      <c r="G38" s="4"/>
      <c r="H38" s="3" t="n">
        <v>8.49</v>
      </c>
      <c r="I38" s="4"/>
      <c r="J38" s="3" t="n">
        <v>7.99</v>
      </c>
      <c r="K38" s="2" t="s">
        <v>52</v>
      </c>
      <c r="L38" s="4"/>
      <c r="M38" s="5" t="n">
        <f aca="false">IF(COUNT(F38,H38,J38)=0,"",MIN(F38,H38,J38))</f>
        <v>7.99</v>
      </c>
      <c r="N38" s="2" t="str">
        <f aca="false">IF(COUNT(F38,H38,J38)=0,"",IF(MIN(F38,H38,J38)=J38,"Colruyt",IF(MIN(F38,H38,J38)=H38,"Carrefour","Delhaize")))</f>
        <v>Colruyt</v>
      </c>
    </row>
    <row r="39" customFormat="false" ht="15" hidden="false" customHeight="false" outlineLevel="0" collapsed="false">
      <c r="A39" s="2" t="s">
        <v>126</v>
      </c>
      <c r="B39" s="2" t="s">
        <v>126</v>
      </c>
      <c r="C39" s="2" t="s">
        <v>127</v>
      </c>
      <c r="D39" s="2" t="s">
        <v>128</v>
      </c>
      <c r="E39" s="2" t="s">
        <v>122</v>
      </c>
      <c r="F39" s="3" t="n">
        <v>3.29</v>
      </c>
      <c r="G39" s="4"/>
      <c r="H39" s="3" t="n">
        <v>2.99</v>
      </c>
      <c r="I39" s="4"/>
      <c r="J39" s="3" t="n">
        <v>2.79</v>
      </c>
      <c r="K39" s="2"/>
      <c r="L39" s="4"/>
      <c r="M39" s="5" t="n">
        <f aca="false">IF(COUNT(F39,H39,J39)=0,"",MIN(F39,H39,J39))</f>
        <v>2.79</v>
      </c>
      <c r="N39" s="2" t="str">
        <f aca="false">IF(COUNT(F39,H39,J39)=0,"",IF(MIN(F39,H39,J39)=J39,"Colruyt",IF(MIN(F39,H39,J39)=H39,"Carrefour","Delhaize")))</f>
        <v>Colruyt</v>
      </c>
    </row>
    <row r="40" customFormat="false" ht="15" hidden="false" customHeight="false" outlineLevel="0" collapsed="false">
      <c r="A40" s="2" t="s">
        <v>129</v>
      </c>
      <c r="B40" s="2" t="s">
        <v>129</v>
      </c>
      <c r="C40" s="2" t="s">
        <v>130</v>
      </c>
      <c r="D40" s="2" t="s">
        <v>131</v>
      </c>
      <c r="E40" s="2" t="s">
        <v>122</v>
      </c>
      <c r="F40" s="3" t="n">
        <v>8.49</v>
      </c>
      <c r="G40" s="4"/>
      <c r="H40" s="3" t="n">
        <v>7.99</v>
      </c>
      <c r="I40" s="4"/>
      <c r="J40" s="3" t="n">
        <v>7.49</v>
      </c>
      <c r="K40" s="2"/>
      <c r="L40" s="4"/>
      <c r="M40" s="5" t="n">
        <f aca="false">IF(COUNT(F40,H40,J40)=0,"",MIN(F40,H40,J40))</f>
        <v>7.49</v>
      </c>
      <c r="N40" s="2" t="str">
        <f aca="false">IF(COUNT(F40,H40,J40)=0,"",IF(MIN(F40,H40,J40)=J40,"Colruyt",IF(MIN(F40,H40,J40)=H40,"Carrefour","Delhaize")))</f>
        <v>Colruyt</v>
      </c>
    </row>
    <row r="41" customFormat="false" ht="15" hidden="false" customHeight="false" outlineLevel="0" collapsed="false">
      <c r="A41" s="2" t="s">
        <v>132</v>
      </c>
      <c r="B41" s="2" t="s">
        <v>132</v>
      </c>
      <c r="C41" s="2" t="s">
        <v>133</v>
      </c>
      <c r="D41" s="2" t="s">
        <v>134</v>
      </c>
      <c r="E41" s="2" t="s">
        <v>122</v>
      </c>
      <c r="F41" s="3" t="n">
        <v>2.99</v>
      </c>
      <c r="G41" s="4"/>
      <c r="H41" s="3" t="n">
        <v>2.79</v>
      </c>
      <c r="I41" s="4"/>
      <c r="J41" s="3" t="n">
        <v>2.59</v>
      </c>
      <c r="K41" s="2"/>
      <c r="L41" s="4"/>
      <c r="M41" s="5" t="n">
        <f aca="false">IF(COUNT(F41,H41,J41)=0,"",MIN(F41,H41,J41))</f>
        <v>2.59</v>
      </c>
      <c r="N41" s="2" t="str">
        <f aca="false">IF(COUNT(F41,H41,J41)=0,"",IF(MIN(F41,H41,J41)=J41,"Colruyt",IF(MIN(F41,H41,J41)=H41,"Carrefour","Delhaize")))</f>
        <v>Colruyt</v>
      </c>
    </row>
    <row r="42" customFormat="false" ht="15" hidden="false" customHeight="false" outlineLevel="0" collapsed="false">
      <c r="A42" s="2" t="s">
        <v>135</v>
      </c>
      <c r="B42" s="2" t="s">
        <v>38</v>
      </c>
      <c r="C42" s="2" t="s">
        <v>136</v>
      </c>
      <c r="D42" s="2" t="s">
        <v>40</v>
      </c>
      <c r="E42" s="2" t="s">
        <v>41</v>
      </c>
      <c r="F42" s="3" t="n">
        <v>0.89</v>
      </c>
      <c r="G42" s="4"/>
      <c r="H42" s="3" t="n">
        <v>0.85</v>
      </c>
      <c r="I42" s="4"/>
      <c r="J42" s="3" t="n">
        <v>0.85</v>
      </c>
      <c r="K42" s="2"/>
      <c r="L42" s="4"/>
      <c r="M42" s="5" t="n">
        <f aca="false">IF(COUNT(F42,H42,J42)=0,"",MIN(F42,H42,J42))</f>
        <v>0.85</v>
      </c>
      <c r="N42" s="2" t="str">
        <f aca="false">IF(COUNT(F42,H42,J42)=0,"",IF(MIN(F42,H42,J42)=J42,"Colruyt",IF(MIN(F42,H42,J42)=H42,"Carrefour","Delhaize")))</f>
        <v>Colruyt</v>
      </c>
    </row>
    <row r="43" customFormat="false" ht="15" hidden="false" customHeight="false" outlineLevel="0" collapsed="false">
      <c r="A43" s="2" t="s">
        <v>137</v>
      </c>
      <c r="B43" s="2" t="s">
        <v>38</v>
      </c>
      <c r="C43" s="2" t="s">
        <v>138</v>
      </c>
      <c r="D43" s="2" t="s">
        <v>40</v>
      </c>
      <c r="E43" s="2" t="s">
        <v>41</v>
      </c>
      <c r="F43" s="3" t="n">
        <v>1.35</v>
      </c>
      <c r="G43" s="4"/>
      <c r="H43" s="3" t="n">
        <v>1.28</v>
      </c>
      <c r="I43" s="4"/>
      <c r="J43" s="3" t="n">
        <v>1.29</v>
      </c>
      <c r="K43" s="2"/>
      <c r="L43" s="4"/>
      <c r="M43" s="5" t="n">
        <f aca="false">IF(COUNT(F43,H43,J43)=0,"",MIN(F43,H43,J43))</f>
        <v>1.28</v>
      </c>
      <c r="N43" s="2" t="str">
        <f aca="false">IF(COUNT(F43,H43,J43)=0,"",IF(MIN(F43,H43,J43)=J43,"Colruyt",IF(MIN(F43,H43,J43)=H43,"Carrefour","Delhaize")))</f>
        <v>Carrefour</v>
      </c>
    </row>
    <row r="44" customFormat="false" ht="15" hidden="false" customHeight="false" outlineLevel="0" collapsed="false">
      <c r="A44" s="2" t="s">
        <v>139</v>
      </c>
      <c r="B44" s="2" t="s">
        <v>79</v>
      </c>
      <c r="C44" s="2" t="s">
        <v>140</v>
      </c>
      <c r="D44" s="2" t="s">
        <v>61</v>
      </c>
      <c r="E44" s="2" t="s">
        <v>81</v>
      </c>
      <c r="F44" s="3" t="n">
        <v>0.75</v>
      </c>
      <c r="G44" s="4"/>
      <c r="H44" s="3" t="n">
        <v>0.69</v>
      </c>
      <c r="I44" s="4"/>
      <c r="J44" s="3" t="n">
        <v>0.65</v>
      </c>
      <c r="K44" s="2"/>
      <c r="L44" s="4"/>
      <c r="M44" s="5" t="n">
        <f aca="false">IF(COUNT(F44,H44,J44)=0,"",MIN(F44,H44,J44))</f>
        <v>0.65</v>
      </c>
      <c r="N44" s="2" t="str">
        <f aca="false">IF(COUNT(F44,H44,J44)=0,"",IF(MIN(F44,H44,J44)=J44,"Colruyt",IF(MIN(F44,H44,J44)=H44,"Carrefour","Delhaize")))</f>
        <v>Colruyt</v>
      </c>
    </row>
    <row r="45" customFormat="false" ht="15" hidden="false" customHeight="false" outlineLevel="0" collapsed="false">
      <c r="A45" s="2" t="s">
        <v>141</v>
      </c>
      <c r="B45" s="2" t="s">
        <v>91</v>
      </c>
      <c r="C45" s="2" t="s">
        <v>142</v>
      </c>
      <c r="D45" s="2" t="s">
        <v>61</v>
      </c>
      <c r="E45" s="2" t="s">
        <v>81</v>
      </c>
      <c r="F45" s="3" t="n">
        <v>4.29</v>
      </c>
      <c r="G45" s="4"/>
      <c r="H45" s="3" t="n">
        <v>3.99</v>
      </c>
      <c r="I45" s="4"/>
      <c r="J45" s="3" t="n">
        <v>3.89</v>
      </c>
      <c r="K45" s="2"/>
      <c r="L45" s="4"/>
      <c r="M45" s="5" t="n">
        <f aca="false">IF(COUNT(F45,H45,J45)=0,"",MIN(F45,H45,J45))</f>
        <v>3.89</v>
      </c>
      <c r="N45" s="2" t="str">
        <f aca="false">IF(COUNT(F45,H45,J45)=0,"",IF(MIN(F45,H45,J45)=J45,"Colruyt",IF(MIN(F45,H45,J45)=H45,"Carrefour","Delhaize")))</f>
        <v>Colruyt</v>
      </c>
    </row>
    <row r="46" customFormat="false" ht="15" hidden="false" customHeight="false" outlineLevel="0" collapsed="false">
      <c r="A46" s="2" t="s">
        <v>143</v>
      </c>
      <c r="B46" s="2" t="s">
        <v>119</v>
      </c>
      <c r="C46" s="2" t="s">
        <v>144</v>
      </c>
      <c r="D46" s="2" t="s">
        <v>121</v>
      </c>
      <c r="E46" s="2" t="s">
        <v>122</v>
      </c>
      <c r="F46" s="3" t="n">
        <v>4.99</v>
      </c>
      <c r="G46" s="4"/>
      <c r="H46" s="3" t="n">
        <v>4.79</v>
      </c>
      <c r="I46" s="4"/>
      <c r="J46" s="3" t="n">
        <v>4.59</v>
      </c>
      <c r="K46" s="2"/>
      <c r="L46" s="4"/>
      <c r="M46" s="5" t="n">
        <f aca="false">IF(COUNT(F46,H46,J46)=0,"",MIN(F46,H46,J46))</f>
        <v>4.59</v>
      </c>
      <c r="N46" s="2" t="str">
        <f aca="false">IF(COUNT(F46,H46,J46)=0,"",IF(MIN(F46,H46,J46)=J46,"Colruyt",IF(MIN(F46,H46,J46)=H46,"Carrefour","Delhaize")))</f>
        <v>Colruyt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145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146</v>
      </c>
    </row>
    <row r="4" customFormat="false" ht="15" hidden="false" customHeight="false" outlineLevel="0" collapsed="false">
      <c r="A4" s="7" t="s">
        <v>147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 t="s">
        <v>148</v>
      </c>
    </row>
    <row r="7" customFormat="false" ht="15" hidden="false" customHeight="false" outlineLevel="0" collapsed="false">
      <c r="A7" s="7" t="s">
        <v>149</v>
      </c>
    </row>
    <row r="8" customFormat="false" ht="15" hidden="false" customHeight="false" outlineLevel="0" collapsed="false">
      <c r="A8" s="7" t="s">
        <v>150</v>
      </c>
    </row>
    <row r="9" customFormat="false" ht="15" hidden="false" customHeight="false" outlineLevel="0" collapsed="false">
      <c r="A9" s="7" t="s">
        <v>151</v>
      </c>
    </row>
    <row r="10" customFormat="false" ht="15" hidden="false" customHeight="false" outlineLevel="0" collapsed="false">
      <c r="A10" s="7" t="s">
        <v>152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6" t="s">
        <v>153</v>
      </c>
    </row>
    <row r="13" customFormat="false" ht="15" hidden="false" customHeight="false" outlineLevel="0" collapsed="false">
      <c r="A13" s="7" t="s">
        <v>154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8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2026-08-23T14:21:18Z</dcterms:created>
  <dc:creator>openpyxl</dc:creator>
  <dc:description/>
  <dc:language>en-US</dc:language>
  <cp:lastModifiedBy/>
  <dcterms:modified xsi:type="dcterms:W3CDTF">2026-08-23T14:21:18Z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